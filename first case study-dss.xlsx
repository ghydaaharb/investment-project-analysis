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master\"/>
    </mc:Choice>
  </mc:AlternateContent>
  <xr:revisionPtr revIDLastSave="0" documentId="8_{947E9C31-2524-491E-BDF7-B0EF84590F1A}" xr6:coauthVersionLast="47" xr6:coauthVersionMax="47" xr10:uidLastSave="{00000000-0000-0000-0000-000000000000}"/>
  <bookViews>
    <workbookView xWindow="-108" yWindow="-108" windowWidth="23256" windowHeight="12576" xr2:uid="{A8BE47B0-6F9C-40B3-AF5D-516288B940EF}"/>
  </bookViews>
  <sheets>
    <sheet name="IRR" sheetId="2" r:id="rId1"/>
    <sheet name="PI" sheetId="3" r:id="rId2"/>
    <sheet name="NPV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1" i="3" l="1"/>
  <c r="J18" i="3"/>
  <c r="B19" i="3"/>
  <c r="J16" i="3"/>
  <c r="J13" i="3"/>
  <c r="J11" i="3"/>
  <c r="B16" i="3"/>
  <c r="B13" i="3"/>
  <c r="B11" i="3"/>
  <c r="K11" i="2"/>
  <c r="G20" i="2" s="1"/>
  <c r="B16" i="2"/>
  <c r="B11" i="2"/>
  <c r="K16" i="2" l="1"/>
  <c r="J11" i="1"/>
  <c r="J13" i="1" s="1"/>
  <c r="J16" i="1" s="1"/>
  <c r="B16" i="1"/>
  <c r="B13" i="1"/>
  <c r="B11" i="1"/>
  <c r="H21" i="1" l="1"/>
</calcChain>
</file>

<file path=xl/sharedStrings.xml><?xml version="1.0" encoding="utf-8"?>
<sst xmlns="http://schemas.openxmlformats.org/spreadsheetml/2006/main" count="57" uniqueCount="16">
  <si>
    <t>year</t>
  </si>
  <si>
    <t>the project</t>
  </si>
  <si>
    <t>capital</t>
  </si>
  <si>
    <t>cash inflows</t>
  </si>
  <si>
    <t>analysis</t>
  </si>
  <si>
    <t>NPV</t>
  </si>
  <si>
    <t>Net NPV</t>
  </si>
  <si>
    <t>Decision</t>
  </si>
  <si>
    <t>Solar Infrastructure</t>
  </si>
  <si>
    <t>(Logistics Center)</t>
  </si>
  <si>
    <t>final decision :</t>
  </si>
  <si>
    <t>IRR</t>
  </si>
  <si>
    <t>PI</t>
  </si>
  <si>
    <t>Profit</t>
  </si>
  <si>
    <t>profit</t>
  </si>
  <si>
    <t xml:space="preserve"> Logistics 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</si>
</sst>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9" fontId="0" fillId="0" borderId="0" xfId="0" applyNumberFormat="1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 applyAlignment="1">
      <alignment horizontal="center" vertical="center"/>
    </xf>
    <xf numFmtId="8" fontId="0" fillId="0" borderId="0" xfId="0" applyNumberFormat="1"/>
    <xf numFmtId="0" fontId="0" fillId="8" borderId="0" xfId="0" applyFill="1" applyAlignment="1">
      <alignment horizontal="center"/>
    </xf>
    <xf numFmtId="0" fontId="0" fillId="9" borderId="0" xfId="0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218C-F044-45E3-ABE6-63DBBD06973D}">
  <dimension ref="A1:N20"/>
  <sheetViews>
    <sheetView tabSelected="1" topLeftCell="A3" zoomScale="77" workbookViewId="0">
      <selection activeCell="G27" sqref="G27"/>
    </sheetView>
  </sheetViews>
  <sheetFormatPr defaultRowHeight="14.4" x14ac:dyDescent="0.3"/>
  <cols>
    <col min="1" max="1" width="18.88671875" customWidth="1"/>
    <col min="2" max="2" width="19.6640625" customWidth="1"/>
    <col min="3" max="3" width="22" customWidth="1"/>
    <col min="4" max="4" width="29.77734375" customWidth="1"/>
    <col min="5" max="5" width="18" customWidth="1"/>
    <col min="10" max="10" width="21.6640625" customWidth="1"/>
    <col min="11" max="11" width="16.44140625" customWidth="1"/>
    <col min="13" max="13" width="7.33203125" customWidth="1"/>
    <col min="14" max="14" width="19.21875" customWidth="1"/>
  </cols>
  <sheetData>
    <row r="1" spans="1:14" x14ac:dyDescent="0.3">
      <c r="A1" s="2" t="s">
        <v>0</v>
      </c>
      <c r="B1" s="2" t="s">
        <v>1</v>
      </c>
      <c r="D1" s="1">
        <v>0.1</v>
      </c>
      <c r="E1" s="5" t="s">
        <v>8</v>
      </c>
      <c r="J1" s="2" t="s">
        <v>0</v>
      </c>
      <c r="K1" s="2" t="s">
        <v>1</v>
      </c>
      <c r="M1" s="1">
        <v>0.1</v>
      </c>
      <c r="N1" s="7" t="s">
        <v>9</v>
      </c>
    </row>
    <row r="2" spans="1:14" x14ac:dyDescent="0.3">
      <c r="A2">
        <v>0</v>
      </c>
      <c r="B2">
        <v>-500000</v>
      </c>
      <c r="C2" s="6" t="s">
        <v>2</v>
      </c>
      <c r="E2" s="5"/>
      <c r="J2">
        <v>0</v>
      </c>
      <c r="K2">
        <v>-650000</v>
      </c>
      <c r="L2" s="6" t="s">
        <v>2</v>
      </c>
      <c r="N2" s="7"/>
    </row>
    <row r="3" spans="1:14" x14ac:dyDescent="0.3">
      <c r="A3">
        <v>1</v>
      </c>
      <c r="B3">
        <v>120000</v>
      </c>
      <c r="C3" s="3" t="s">
        <v>3</v>
      </c>
      <c r="E3" s="5"/>
      <c r="J3">
        <v>1</v>
      </c>
      <c r="K3">
        <v>150000</v>
      </c>
      <c r="L3" s="3" t="s">
        <v>3</v>
      </c>
      <c r="N3" s="7"/>
    </row>
    <row r="4" spans="1:14" x14ac:dyDescent="0.3">
      <c r="A4">
        <v>2</v>
      </c>
      <c r="B4">
        <v>135000</v>
      </c>
      <c r="C4" s="3"/>
      <c r="E4" s="5"/>
      <c r="J4">
        <v>2</v>
      </c>
      <c r="K4">
        <v>175000</v>
      </c>
      <c r="L4" s="3"/>
      <c r="N4" s="7"/>
    </row>
    <row r="5" spans="1:14" x14ac:dyDescent="0.3">
      <c r="A5">
        <v>3</v>
      </c>
      <c r="B5">
        <v>150000</v>
      </c>
      <c r="C5" s="3"/>
      <c r="E5" s="5"/>
      <c r="J5">
        <v>3</v>
      </c>
      <c r="K5">
        <v>210000</v>
      </c>
      <c r="L5" s="3"/>
      <c r="N5" s="7"/>
    </row>
    <row r="6" spans="1:14" x14ac:dyDescent="0.3">
      <c r="A6">
        <v>4</v>
      </c>
      <c r="B6">
        <v>140000</v>
      </c>
      <c r="C6" s="3"/>
      <c r="E6" s="5"/>
      <c r="J6">
        <v>4</v>
      </c>
      <c r="K6">
        <v>190000</v>
      </c>
      <c r="L6" s="3"/>
      <c r="N6" s="7"/>
    </row>
    <row r="7" spans="1:14" x14ac:dyDescent="0.3">
      <c r="A7">
        <v>5</v>
      </c>
      <c r="B7">
        <v>125000</v>
      </c>
      <c r="C7" s="3"/>
      <c r="E7" s="5"/>
      <c r="J7">
        <v>5</v>
      </c>
      <c r="K7">
        <v>160000</v>
      </c>
      <c r="L7" s="3"/>
      <c r="N7" s="7"/>
    </row>
    <row r="8" spans="1:14" x14ac:dyDescent="0.3">
      <c r="A8">
        <v>6</v>
      </c>
      <c r="B8">
        <v>110000</v>
      </c>
      <c r="C8" s="3"/>
      <c r="E8" s="5"/>
      <c r="J8">
        <v>6</v>
      </c>
      <c r="K8">
        <v>140000</v>
      </c>
      <c r="L8" s="3"/>
      <c r="N8" s="7"/>
    </row>
    <row r="9" spans="1:14" x14ac:dyDescent="0.3">
      <c r="A9" s="4" t="s">
        <v>4</v>
      </c>
      <c r="B9" s="4"/>
      <c r="E9" s="5"/>
      <c r="J9" s="4" t="s">
        <v>4</v>
      </c>
      <c r="K9" s="4"/>
      <c r="N9" s="7"/>
    </row>
    <row r="10" spans="1:14" x14ac:dyDescent="0.3">
      <c r="E10" s="5"/>
      <c r="N10" s="7"/>
    </row>
    <row r="11" spans="1:14" x14ac:dyDescent="0.3">
      <c r="A11" s="2" t="s">
        <v>11</v>
      </c>
      <c r="B11" s="11">
        <f>IRR(B2:B8)</f>
        <v>0.14610256716664916</v>
      </c>
      <c r="E11" s="5"/>
      <c r="J11" s="2" t="s">
        <v>11</v>
      </c>
      <c r="K11" s="11">
        <f>IRR(K2:K8)</f>
        <v>0.14973947829537382</v>
      </c>
      <c r="N11" s="7"/>
    </row>
    <row r="12" spans="1:14" x14ac:dyDescent="0.3">
      <c r="E12" s="5"/>
      <c r="N12" s="7"/>
    </row>
    <row r="13" spans="1:14" x14ac:dyDescent="0.3">
      <c r="A13" s="10"/>
      <c r="B13" s="8"/>
      <c r="E13" s="5"/>
      <c r="J13" s="10"/>
      <c r="K13" s="8"/>
      <c r="N13" s="7"/>
    </row>
    <row r="14" spans="1:14" x14ac:dyDescent="0.3">
      <c r="E14" s="5"/>
      <c r="N14" s="7"/>
    </row>
    <row r="15" spans="1:14" x14ac:dyDescent="0.3">
      <c r="E15" s="5"/>
      <c r="N15" s="7"/>
    </row>
    <row r="16" spans="1:14" x14ac:dyDescent="0.3">
      <c r="A16" s="2" t="s">
        <v>7</v>
      </c>
      <c r="B16" t="str">
        <f>IF(B11&gt;D1,"accepted","rejected")</f>
        <v>accepted</v>
      </c>
      <c r="E16" s="5"/>
      <c r="J16" s="2" t="s">
        <v>7</v>
      </c>
      <c r="K16" t="str">
        <f>IF(K11&gt;M1,"accepted","rejected")</f>
        <v>accepted</v>
      </c>
      <c r="N16" s="7"/>
    </row>
    <row r="17" spans="4:14" x14ac:dyDescent="0.3">
      <c r="E17" s="5"/>
      <c r="N17" s="7"/>
    </row>
    <row r="20" spans="4:14" x14ac:dyDescent="0.3">
      <c r="D20" s="9" t="s">
        <v>10</v>
      </c>
      <c r="E20" s="9"/>
      <c r="F20" s="9"/>
      <c r="G20" s="9" t="str">
        <f>IF(B11&gt;K11,"invest in Solar Infrastructure","invest in logistics center")</f>
        <v>invest in logistics center</v>
      </c>
      <c r="H20" s="9"/>
      <c r="I20" s="9"/>
      <c r="J20" s="9"/>
    </row>
  </sheetData>
  <mergeCells count="8">
    <mergeCell ref="D20:F20"/>
    <mergeCell ref="G20:J20"/>
    <mergeCell ref="E1:E17"/>
    <mergeCell ref="C3:C8"/>
    <mergeCell ref="A9:B9"/>
    <mergeCell ref="N1:N17"/>
    <mergeCell ref="L3:L8"/>
    <mergeCell ref="J9:K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CE952-BE98-464D-9358-6755DC56FCA7}">
  <dimension ref="A1:M21"/>
  <sheetViews>
    <sheetView zoomScale="68" workbookViewId="0">
      <selection sqref="A1:M22"/>
    </sheetView>
  </sheetViews>
  <sheetFormatPr defaultRowHeight="14.4" x14ac:dyDescent="0.3"/>
  <cols>
    <col min="2" max="2" width="13.88671875" customWidth="1"/>
    <col min="3" max="3" width="14.33203125" customWidth="1"/>
    <col min="4" max="4" width="13.33203125" customWidth="1"/>
    <col min="5" max="5" width="17.21875" customWidth="1"/>
    <col min="9" max="9" width="13.44140625" customWidth="1"/>
    <col min="10" max="10" width="19.6640625" customWidth="1"/>
    <col min="12" max="12" width="8.88671875" customWidth="1"/>
    <col min="13" max="13" width="26.33203125" customWidth="1"/>
  </cols>
  <sheetData>
    <row r="1" spans="1:13" x14ac:dyDescent="0.3">
      <c r="A1" s="2" t="s">
        <v>0</v>
      </c>
      <c r="B1" s="2" t="s">
        <v>1</v>
      </c>
      <c r="D1" s="1">
        <v>0.1</v>
      </c>
      <c r="E1" s="5" t="s">
        <v>8</v>
      </c>
      <c r="I1" s="2" t="s">
        <v>0</v>
      </c>
      <c r="J1" s="2" t="s">
        <v>1</v>
      </c>
      <c r="L1" s="1">
        <v>0.1</v>
      </c>
      <c r="M1" s="7" t="s">
        <v>15</v>
      </c>
    </row>
    <row r="2" spans="1:13" x14ac:dyDescent="0.3">
      <c r="A2">
        <v>0</v>
      </c>
      <c r="B2">
        <v>500000</v>
      </c>
      <c r="C2" s="6" t="s">
        <v>2</v>
      </c>
      <c r="E2" s="5"/>
      <c r="I2">
        <v>0</v>
      </c>
      <c r="J2">
        <v>650000</v>
      </c>
      <c r="K2" s="6" t="s">
        <v>2</v>
      </c>
      <c r="M2" s="7"/>
    </row>
    <row r="3" spans="1:13" x14ac:dyDescent="0.3">
      <c r="A3">
        <v>1</v>
      </c>
      <c r="B3">
        <v>120000</v>
      </c>
      <c r="C3" s="3" t="s">
        <v>3</v>
      </c>
      <c r="E3" s="5"/>
      <c r="I3">
        <v>1</v>
      </c>
      <c r="J3">
        <v>150000</v>
      </c>
      <c r="K3" s="3" t="s">
        <v>3</v>
      </c>
      <c r="M3" s="7"/>
    </row>
    <row r="4" spans="1:13" x14ac:dyDescent="0.3">
      <c r="A4">
        <v>2</v>
      </c>
      <c r="B4">
        <v>135000</v>
      </c>
      <c r="C4" s="3"/>
      <c r="E4" s="5"/>
      <c r="I4">
        <v>2</v>
      </c>
      <c r="J4">
        <v>175000</v>
      </c>
      <c r="K4" s="3"/>
      <c r="M4" s="7"/>
    </row>
    <row r="5" spans="1:13" x14ac:dyDescent="0.3">
      <c r="A5">
        <v>3</v>
      </c>
      <c r="B5">
        <v>150000</v>
      </c>
      <c r="C5" s="3"/>
      <c r="E5" s="5"/>
      <c r="I5">
        <v>3</v>
      </c>
      <c r="J5">
        <v>210000</v>
      </c>
      <c r="K5" s="3"/>
      <c r="M5" s="7"/>
    </row>
    <row r="6" spans="1:13" x14ac:dyDescent="0.3">
      <c r="A6">
        <v>4</v>
      </c>
      <c r="B6">
        <v>140000</v>
      </c>
      <c r="C6" s="3"/>
      <c r="E6" s="5"/>
      <c r="I6">
        <v>4</v>
      </c>
      <c r="J6">
        <v>190000</v>
      </c>
      <c r="K6" s="3"/>
      <c r="M6" s="7"/>
    </row>
    <row r="7" spans="1:13" x14ac:dyDescent="0.3">
      <c r="A7">
        <v>5</v>
      </c>
      <c r="B7">
        <v>125000</v>
      </c>
      <c r="C7" s="3"/>
      <c r="E7" s="5"/>
      <c r="I7">
        <v>5</v>
      </c>
      <c r="J7">
        <v>160000</v>
      </c>
      <c r="K7" s="3"/>
      <c r="M7" s="7"/>
    </row>
    <row r="8" spans="1:13" x14ac:dyDescent="0.3">
      <c r="A8">
        <v>6</v>
      </c>
      <c r="B8">
        <v>110000</v>
      </c>
      <c r="C8" s="3"/>
      <c r="E8" s="5"/>
      <c r="I8">
        <v>6</v>
      </c>
      <c r="J8">
        <v>140000</v>
      </c>
      <c r="K8" s="3"/>
      <c r="M8" s="7"/>
    </row>
    <row r="9" spans="1:13" x14ac:dyDescent="0.3">
      <c r="A9" s="4" t="s">
        <v>4</v>
      </c>
      <c r="B9" s="4"/>
      <c r="E9" s="5"/>
      <c r="I9" s="4" t="s">
        <v>4</v>
      </c>
      <c r="J9" s="4"/>
      <c r="M9" s="7"/>
    </row>
    <row r="10" spans="1:13" x14ac:dyDescent="0.3">
      <c r="E10" s="5"/>
      <c r="M10" s="7"/>
    </row>
    <row r="11" spans="1:13" x14ac:dyDescent="0.3">
      <c r="A11" s="2" t="s">
        <v>5</v>
      </c>
      <c r="B11" s="8">
        <f>NPV(D1,B3:B8)</f>
        <v>568687.55859944981</v>
      </c>
      <c r="E11" s="5"/>
      <c r="I11" s="2" t="s">
        <v>5</v>
      </c>
      <c r="J11" s="8">
        <f>NPV(L1,J3:J8)</f>
        <v>746914.1621428784</v>
      </c>
      <c r="M11" s="7"/>
    </row>
    <row r="12" spans="1:13" x14ac:dyDescent="0.3">
      <c r="E12" s="5"/>
      <c r="M12" s="7"/>
    </row>
    <row r="13" spans="1:13" x14ac:dyDescent="0.3">
      <c r="A13" s="2" t="s">
        <v>12</v>
      </c>
      <c r="B13" s="8">
        <f>B11/B2</f>
        <v>1.1373751171988997</v>
      </c>
      <c r="E13" s="5"/>
      <c r="I13" s="2" t="s">
        <v>12</v>
      </c>
      <c r="J13" s="8">
        <f>J11/J2</f>
        <v>1.1490987109890436</v>
      </c>
      <c r="M13" s="7"/>
    </row>
    <row r="14" spans="1:13" x14ac:dyDescent="0.3">
      <c r="E14" s="5"/>
      <c r="M14" s="7"/>
    </row>
    <row r="15" spans="1:13" x14ac:dyDescent="0.3">
      <c r="E15" s="5"/>
      <c r="M15" s="7"/>
    </row>
    <row r="16" spans="1:13" x14ac:dyDescent="0.3">
      <c r="A16" s="2" t="s">
        <v>7</v>
      </c>
      <c r="B16" t="str">
        <f>IF(B11&gt;0,"accepted","rejected")</f>
        <v>accepted</v>
      </c>
      <c r="E16" s="5"/>
      <c r="I16" s="2" t="s">
        <v>7</v>
      </c>
      <c r="J16" t="str">
        <f>IF(J11&gt;0,"accepted","rejected")</f>
        <v>accepted</v>
      </c>
      <c r="M16" s="7"/>
    </row>
    <row r="17" spans="1:13" x14ac:dyDescent="0.3">
      <c r="E17" s="5"/>
      <c r="M17" s="7"/>
    </row>
    <row r="18" spans="1:13" x14ac:dyDescent="0.3">
      <c r="I18" s="2" t="s">
        <v>14</v>
      </c>
      <c r="J18" s="8">
        <f>(J2*J13)-J2</f>
        <v>96914.162142878282</v>
      </c>
    </row>
    <row r="19" spans="1:13" x14ac:dyDescent="0.3">
      <c r="A19" s="2" t="s">
        <v>13</v>
      </c>
      <c r="B19" s="8">
        <f>(B2*B13)-B2</f>
        <v>68687.558599449811</v>
      </c>
    </row>
    <row r="21" spans="1:13" x14ac:dyDescent="0.3">
      <c r="D21" s="9" t="s">
        <v>10</v>
      </c>
      <c r="E21" s="9"/>
      <c r="F21" s="9" t="str">
        <f>IF(B19&gt;J18,"invest in solar infrastructure","invest in Logistics Center")</f>
        <v>invest in Logistics Center</v>
      </c>
      <c r="G21" s="9"/>
      <c r="H21" s="9"/>
      <c r="I21" s="9"/>
    </row>
  </sheetData>
  <mergeCells count="8">
    <mergeCell ref="M1:M17"/>
    <mergeCell ref="K3:K8"/>
    <mergeCell ref="I9:J9"/>
    <mergeCell ref="D21:E21"/>
    <mergeCell ref="F21:I21"/>
    <mergeCell ref="E1:E17"/>
    <mergeCell ref="C3:C8"/>
    <mergeCell ref="A9:B9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4651-D8A7-4942-8B44-5AA947481196}">
  <dimension ref="A1:M21"/>
  <sheetViews>
    <sheetView zoomScale="88" workbookViewId="0">
      <selection sqref="A1:M21"/>
    </sheetView>
  </sheetViews>
  <sheetFormatPr defaultRowHeight="14.4" x14ac:dyDescent="0.3"/>
  <cols>
    <col min="1" max="1" width="17.5546875" customWidth="1"/>
    <col min="2" max="2" width="21" customWidth="1"/>
    <col min="3" max="3" width="15" customWidth="1"/>
    <col min="5" max="5" width="21.6640625" customWidth="1"/>
    <col min="9" max="9" width="19.5546875" customWidth="1"/>
    <col min="10" max="10" width="14.6640625" customWidth="1"/>
    <col min="11" max="11" width="16.88671875" customWidth="1"/>
    <col min="13" max="13" width="23" customWidth="1"/>
  </cols>
  <sheetData>
    <row r="1" spans="1:13" x14ac:dyDescent="0.3">
      <c r="A1" s="2" t="s">
        <v>0</v>
      </c>
      <c r="B1" s="2" t="s">
        <v>1</v>
      </c>
      <c r="D1" s="1">
        <v>0.1</v>
      </c>
      <c r="E1" s="5" t="s">
        <v>8</v>
      </c>
      <c r="I1" s="2" t="s">
        <v>0</v>
      </c>
      <c r="J1" s="2" t="s">
        <v>1</v>
      </c>
      <c r="L1" s="1">
        <v>0.1</v>
      </c>
      <c r="M1" s="7" t="s">
        <v>9</v>
      </c>
    </row>
    <row r="2" spans="1:13" x14ac:dyDescent="0.3">
      <c r="A2">
        <v>0</v>
      </c>
      <c r="B2">
        <v>500000</v>
      </c>
      <c r="C2" s="6" t="s">
        <v>2</v>
      </c>
      <c r="E2" s="5"/>
      <c r="I2">
        <v>0</v>
      </c>
      <c r="J2">
        <v>650000</v>
      </c>
      <c r="K2" s="6" t="s">
        <v>2</v>
      </c>
      <c r="M2" s="7"/>
    </row>
    <row r="3" spans="1:13" x14ac:dyDescent="0.3">
      <c r="A3">
        <v>1</v>
      </c>
      <c r="B3">
        <v>120000</v>
      </c>
      <c r="C3" s="3" t="s">
        <v>3</v>
      </c>
      <c r="E3" s="5"/>
      <c r="I3">
        <v>1</v>
      </c>
      <c r="J3">
        <v>150000</v>
      </c>
      <c r="K3" s="3" t="s">
        <v>3</v>
      </c>
      <c r="M3" s="7"/>
    </row>
    <row r="4" spans="1:13" x14ac:dyDescent="0.3">
      <c r="A4">
        <v>2</v>
      </c>
      <c r="B4">
        <v>135000</v>
      </c>
      <c r="C4" s="3"/>
      <c r="E4" s="5"/>
      <c r="I4">
        <v>2</v>
      </c>
      <c r="J4">
        <v>175000</v>
      </c>
      <c r="K4" s="3"/>
      <c r="M4" s="7"/>
    </row>
    <row r="5" spans="1:13" x14ac:dyDescent="0.3">
      <c r="A5">
        <v>3</v>
      </c>
      <c r="B5">
        <v>150000</v>
      </c>
      <c r="C5" s="3"/>
      <c r="E5" s="5"/>
      <c r="I5">
        <v>3</v>
      </c>
      <c r="J5">
        <v>210000</v>
      </c>
      <c r="K5" s="3"/>
      <c r="M5" s="7"/>
    </row>
    <row r="6" spans="1:13" x14ac:dyDescent="0.3">
      <c r="A6">
        <v>4</v>
      </c>
      <c r="B6">
        <v>140000</v>
      </c>
      <c r="C6" s="3"/>
      <c r="E6" s="5"/>
      <c r="I6">
        <v>4</v>
      </c>
      <c r="J6">
        <v>190000</v>
      </c>
      <c r="K6" s="3"/>
      <c r="M6" s="7"/>
    </row>
    <row r="7" spans="1:13" x14ac:dyDescent="0.3">
      <c r="A7">
        <v>5</v>
      </c>
      <c r="B7">
        <v>125000</v>
      </c>
      <c r="C7" s="3"/>
      <c r="E7" s="5"/>
      <c r="I7">
        <v>5</v>
      </c>
      <c r="J7">
        <v>160000</v>
      </c>
      <c r="K7" s="3"/>
      <c r="M7" s="7"/>
    </row>
    <row r="8" spans="1:13" x14ac:dyDescent="0.3">
      <c r="A8">
        <v>6</v>
      </c>
      <c r="B8">
        <v>110000</v>
      </c>
      <c r="C8" s="3"/>
      <c r="E8" s="5"/>
      <c r="I8">
        <v>6</v>
      </c>
      <c r="J8">
        <v>140000</v>
      </c>
      <c r="K8" s="3"/>
      <c r="M8" s="7"/>
    </row>
    <row r="9" spans="1:13" x14ac:dyDescent="0.3">
      <c r="A9" s="4" t="s">
        <v>4</v>
      </c>
      <c r="B9" s="4"/>
      <c r="E9" s="5"/>
      <c r="I9" s="4" t="s">
        <v>4</v>
      </c>
      <c r="J9" s="4"/>
      <c r="M9" s="7"/>
    </row>
    <row r="10" spans="1:13" x14ac:dyDescent="0.3">
      <c r="E10" s="5"/>
      <c r="M10" s="7"/>
    </row>
    <row r="11" spans="1:13" x14ac:dyDescent="0.3">
      <c r="A11" s="2" t="s">
        <v>5</v>
      </c>
      <c r="B11" s="8">
        <f>NPV(D1,B3:B8)</f>
        <v>568687.55859944981</v>
      </c>
      <c r="E11" s="5"/>
      <c r="I11" s="2" t="s">
        <v>5</v>
      </c>
      <c r="J11" s="8">
        <f>NPV(L1,J3:J8)</f>
        <v>746914.1621428784</v>
      </c>
      <c r="M11" s="7"/>
    </row>
    <row r="12" spans="1:13" x14ac:dyDescent="0.3">
      <c r="E12" s="5"/>
      <c r="M12" s="7"/>
    </row>
    <row r="13" spans="1:13" x14ac:dyDescent="0.3">
      <c r="A13" s="2" t="s">
        <v>6</v>
      </c>
      <c r="B13" s="8">
        <f>B11-B2</f>
        <v>68687.558599449811</v>
      </c>
      <c r="E13" s="5"/>
      <c r="I13" s="2" t="s">
        <v>6</v>
      </c>
      <c r="J13" s="8">
        <f>J11-J2</f>
        <v>96914.162142878398</v>
      </c>
      <c r="M13" s="7"/>
    </row>
    <row r="14" spans="1:13" x14ac:dyDescent="0.3">
      <c r="E14" s="5"/>
      <c r="M14" s="7"/>
    </row>
    <row r="15" spans="1:13" x14ac:dyDescent="0.3">
      <c r="E15" s="5"/>
      <c r="M15" s="7"/>
    </row>
    <row r="16" spans="1:13" x14ac:dyDescent="0.3">
      <c r="A16" s="2" t="s">
        <v>7</v>
      </c>
      <c r="B16" t="str">
        <f>IF(B13&gt;0,"accepted","rejected")</f>
        <v>accepted</v>
      </c>
      <c r="E16" s="5"/>
      <c r="I16" s="2" t="s">
        <v>7</v>
      </c>
      <c r="J16" t="str">
        <f>IF(J13&gt;0,"accepted","rejected")</f>
        <v>accepted</v>
      </c>
      <c r="M16" s="7"/>
    </row>
    <row r="17" spans="5:13" x14ac:dyDescent="0.3">
      <c r="E17" s="5"/>
      <c r="M17" s="7"/>
    </row>
    <row r="21" spans="5:13" x14ac:dyDescent="0.3">
      <c r="E21" s="9" t="s">
        <v>10</v>
      </c>
      <c r="F21" s="9"/>
      <c r="G21" s="9"/>
      <c r="H21" s="9" t="str">
        <f>IF(B13&gt;J13,"invest in solar infrastructure","invest in logistics center")</f>
        <v>invest in logistics center</v>
      </c>
      <c r="I21" s="9"/>
      <c r="J21" s="9"/>
    </row>
  </sheetData>
  <mergeCells count="8">
    <mergeCell ref="E21:G21"/>
    <mergeCell ref="H21:J21"/>
    <mergeCell ref="C3:C8"/>
    <mergeCell ref="A9:B9"/>
    <mergeCell ref="E1:E17"/>
    <mergeCell ref="M1:M17"/>
    <mergeCell ref="K3:K8"/>
    <mergeCell ref="I9:J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IRR</vt:lpstr>
      <vt:lpstr>PI</vt:lpstr>
      <vt:lpstr>NPV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giigii ha</dc:creator>
  <cp:lastModifiedBy>giigii ha</cp:lastModifiedBy>
  <dcterms:created xsi:type="dcterms:W3CDTF">2026-09-27T12:13:25Z</dcterms:created>
  <dcterms:modified xsi:type="dcterms:W3CDTF">2026-09-27T12:57:12Z</dcterms:modified>
</cp:coreProperties>
</file>